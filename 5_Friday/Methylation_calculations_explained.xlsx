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uol.le.ac.uk\root\staff\home\h\hjm32\My Documents\"/>
    </mc:Choice>
  </mc:AlternateContent>
  <xr:revisionPtr revIDLastSave="0" documentId="13_ncr:1_{2B568FB9-2446-4B17-BCCB-41CA8661DAA5}" xr6:coauthVersionLast="47" xr6:coauthVersionMax="47" xr10:uidLastSave="{00000000-0000-0000-0000-000000000000}"/>
  <bookViews>
    <workbookView xWindow="-23148" yWindow="516" windowWidth="23256" windowHeight="12576" xr2:uid="{4D810F06-85AB-46B9-99AE-FCF692117F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1" i="1" l="1"/>
  <c r="H8" i="1"/>
  <c r="E4" i="1"/>
  <c r="E5" i="1"/>
  <c r="E6" i="1"/>
  <c r="E7" i="1"/>
  <c r="E9" i="1"/>
  <c r="E10" i="1"/>
  <c r="E11" i="1"/>
  <c r="E13" i="1"/>
  <c r="E15" i="1"/>
  <c r="E16" i="1"/>
  <c r="E17" i="1"/>
  <c r="E3" i="1"/>
  <c r="D19" i="1"/>
  <c r="C19" i="1"/>
  <c r="H5" i="1" s="1"/>
</calcChain>
</file>

<file path=xl/sharedStrings.xml><?xml version="1.0" encoding="utf-8"?>
<sst xmlns="http://schemas.openxmlformats.org/spreadsheetml/2006/main" count="18" uniqueCount="11">
  <si>
    <t>A allele</t>
  </si>
  <si>
    <t>C</t>
  </si>
  <si>
    <t>Total</t>
  </si>
  <si>
    <t>Weighted meth</t>
  </si>
  <si>
    <t>Fractional meth</t>
  </si>
  <si>
    <t>Mean meth</t>
  </si>
  <si>
    <t>Excluded</t>
  </si>
  <si>
    <t>Site meth level</t>
  </si>
  <si>
    <t>C+T (Coverage)</t>
  </si>
  <si>
    <t>Binomial</t>
  </si>
  <si>
    <t>‘Leveling’ the playing field for analyses of single-base resolution DNA methylomes: Trends in Genetics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</si>
</sst>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theme="5"/>
      </left>
      <right/>
      <top style="medium">
        <color theme="5"/>
      </top>
      <bottom style="medium">
        <color theme="5"/>
      </bottom>
      <diagonal/>
    </border>
    <border>
      <left/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theme="9"/>
      </left>
      <right style="medium">
        <color theme="9"/>
      </right>
      <top style="medium">
        <color theme="9"/>
      </top>
      <bottom style="medium">
        <color theme="9"/>
      </bottom>
      <diagonal/>
    </border>
    <border>
      <left style="medium">
        <color theme="9"/>
      </left>
      <right style="medium">
        <color theme="9"/>
      </right>
      <top/>
      <bottom/>
      <diagonal/>
    </border>
    <border>
      <left style="medium">
        <color theme="9"/>
      </left>
      <right style="medium">
        <color theme="9"/>
      </right>
      <top/>
      <bottom style="medium">
        <color theme="9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/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/>
      <right style="medium">
        <color theme="4"/>
      </right>
      <top/>
      <bottom style="medium">
        <color theme="4"/>
      </bottom>
      <diagonal/>
    </border>
    <border>
      <left style="medium">
        <color theme="9"/>
      </left>
      <right style="medium">
        <color theme="9"/>
      </right>
      <top style="medium">
        <color theme="9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vertical="center" wrapText="1"/>
    </xf>
    <xf numFmtId="0" fontId="2" fillId="0" borderId="0" xfId="1"/>
    <xf numFmtId="0" fontId="0" fillId="0" borderId="0" xfId="0" applyBorder="1"/>
    <xf numFmtId="0" fontId="0" fillId="0" borderId="2" xfId="0" applyBorder="1"/>
    <xf numFmtId="0" fontId="0" fillId="0" borderId="3" xfId="0" applyBorder="1"/>
    <xf numFmtId="169" fontId="0" fillId="0" borderId="1" xfId="0" applyNumberFormat="1" applyBorder="1" applyAlignment="1">
      <alignment horizontal="right" indent="1"/>
    </xf>
    <xf numFmtId="0" fontId="0" fillId="2" borderId="0" xfId="0" applyFill="1"/>
    <xf numFmtId="0" fontId="0" fillId="0" borderId="5" xfId="0" applyBorder="1"/>
    <xf numFmtId="0" fontId="0" fillId="2" borderId="5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169" fontId="0" fillId="0" borderId="4" xfId="0" applyNumberFormat="1" applyBorder="1" applyAlignment="1">
      <alignment horizontal="right" indent="1"/>
    </xf>
    <xf numFmtId="169" fontId="0" fillId="0" borderId="7" xfId="0" applyNumberFormat="1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0" fillId="2" borderId="8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0" borderId="11" xfId="0" applyBorder="1"/>
    <xf numFmtId="169" fontId="0" fillId="0" borderId="5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ell.com/trends/genetics/fulltext/S0168-9525(12)00171-0?_returnURL=https%3A%2F%2Flinkinghub.elsevier.com%2Fretrieve%2Fpii%2FS0168952512001710%3Fshowall%3D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8680E-9A10-4172-B1FD-41CE5CF7646A}">
  <dimension ref="B1:J20"/>
  <sheetViews>
    <sheetView tabSelected="1" workbookViewId="0">
      <selection activeCell="H18" sqref="H18"/>
    </sheetView>
  </sheetViews>
  <sheetFormatPr defaultRowHeight="15" x14ac:dyDescent="0.25"/>
  <cols>
    <col min="4" max="4" width="11.42578125" customWidth="1"/>
    <col min="5" max="5" width="11.7109375" customWidth="1"/>
    <col min="6" max="6" width="12" bestFit="1" customWidth="1"/>
    <col min="8" max="8" width="13.5703125" bestFit="1" customWidth="1"/>
  </cols>
  <sheetData>
    <row r="1" spans="3:10" x14ac:dyDescent="0.25">
      <c r="C1" s="1" t="s">
        <v>0</v>
      </c>
      <c r="D1" s="1"/>
      <c r="E1" s="1"/>
      <c r="F1" s="1"/>
    </row>
    <row r="2" spans="3:10" ht="28.5" customHeight="1" thickBot="1" x14ac:dyDescent="0.3">
      <c r="C2" s="4" t="s">
        <v>1</v>
      </c>
      <c r="D2" s="4" t="s">
        <v>8</v>
      </c>
      <c r="E2" s="4" t="s">
        <v>7</v>
      </c>
      <c r="F2" s="4" t="s">
        <v>9</v>
      </c>
      <c r="J2" s="5" t="s">
        <v>10</v>
      </c>
    </row>
    <row r="3" spans="3:10" x14ac:dyDescent="0.25">
      <c r="C3">
        <v>2</v>
      </c>
      <c r="D3">
        <v>2</v>
      </c>
      <c r="E3" s="20">
        <f>C3/D3</f>
        <v>1</v>
      </c>
      <c r="F3" s="17">
        <v>1</v>
      </c>
    </row>
    <row r="4" spans="3:10" ht="15.75" thickBot="1" x14ac:dyDescent="0.3">
      <c r="C4">
        <v>3</v>
      </c>
      <c r="D4">
        <v>3</v>
      </c>
      <c r="E4" s="11">
        <f t="shared" ref="E4:E18" si="0">C4/D4</f>
        <v>1</v>
      </c>
      <c r="F4" s="16">
        <v>1</v>
      </c>
      <c r="H4" s="2" t="s">
        <v>3</v>
      </c>
    </row>
    <row r="5" spans="3:10" ht="15.75" thickBot="1" x14ac:dyDescent="0.3">
      <c r="C5">
        <v>20</v>
      </c>
      <c r="D5">
        <v>21</v>
      </c>
      <c r="E5" s="21">
        <f t="shared" si="0"/>
        <v>0.95238095238095233</v>
      </c>
      <c r="F5" s="16">
        <v>1</v>
      </c>
      <c r="H5" s="9">
        <f>C19/D19</f>
        <v>0.3016759776536313</v>
      </c>
      <c r="I5" s="6"/>
    </row>
    <row r="6" spans="3:10" x14ac:dyDescent="0.25">
      <c r="C6" s="10">
        <v>0</v>
      </c>
      <c r="D6">
        <v>18</v>
      </c>
      <c r="E6" s="11">
        <f t="shared" si="0"/>
        <v>0</v>
      </c>
      <c r="F6" s="16">
        <v>0</v>
      </c>
      <c r="H6" s="6"/>
    </row>
    <row r="7" spans="3:10" ht="15.75" thickBot="1" x14ac:dyDescent="0.3">
      <c r="C7">
        <v>4</v>
      </c>
      <c r="D7">
        <v>30</v>
      </c>
      <c r="E7" s="21">
        <f t="shared" si="0"/>
        <v>0.13333333333333333</v>
      </c>
      <c r="F7" s="16">
        <v>1</v>
      </c>
      <c r="H7" s="2" t="s">
        <v>5</v>
      </c>
    </row>
    <row r="8" spans="3:10" ht="15.75" thickBot="1" x14ac:dyDescent="0.3">
      <c r="C8">
        <v>0</v>
      </c>
      <c r="D8">
        <v>0</v>
      </c>
      <c r="E8" s="12" t="s">
        <v>6</v>
      </c>
      <c r="F8" s="18" t="s">
        <v>6</v>
      </c>
      <c r="H8" s="14">
        <f>AVERAGE(E3:E18)</f>
        <v>0.50799953314659196</v>
      </c>
    </row>
    <row r="9" spans="3:10" x14ac:dyDescent="0.25">
      <c r="C9">
        <v>4</v>
      </c>
      <c r="D9">
        <v>25</v>
      </c>
      <c r="E9" s="11">
        <f t="shared" si="0"/>
        <v>0.16</v>
      </c>
      <c r="F9" s="16">
        <v>1</v>
      </c>
    </row>
    <row r="10" spans="3:10" ht="15.75" thickBot="1" x14ac:dyDescent="0.3">
      <c r="C10" s="10">
        <v>0</v>
      </c>
      <c r="D10">
        <v>25</v>
      </c>
      <c r="E10" s="11">
        <f t="shared" si="0"/>
        <v>0</v>
      </c>
      <c r="F10" s="16">
        <v>0</v>
      </c>
      <c r="H10" s="2" t="s">
        <v>4</v>
      </c>
    </row>
    <row r="11" spans="3:10" ht="15.75" thickBot="1" x14ac:dyDescent="0.3">
      <c r="C11">
        <v>3</v>
      </c>
      <c r="D11">
        <v>17</v>
      </c>
      <c r="E11" s="21">
        <f t="shared" si="0"/>
        <v>0.17647058823529413</v>
      </c>
      <c r="F11" s="16">
        <v>1</v>
      </c>
      <c r="H11" s="15">
        <f>AVERAGE(F3:F18)</f>
        <v>0.83333333333333337</v>
      </c>
    </row>
    <row r="12" spans="3:10" x14ac:dyDescent="0.25">
      <c r="C12">
        <v>0</v>
      </c>
      <c r="D12">
        <v>0</v>
      </c>
      <c r="E12" s="12" t="s">
        <v>6</v>
      </c>
      <c r="F12" s="18" t="s">
        <v>6</v>
      </c>
    </row>
    <row r="13" spans="3:10" x14ac:dyDescent="0.25">
      <c r="C13">
        <v>3</v>
      </c>
      <c r="D13">
        <v>20</v>
      </c>
      <c r="E13" s="11">
        <f t="shared" si="0"/>
        <v>0.15</v>
      </c>
      <c r="F13" s="16">
        <v>1</v>
      </c>
    </row>
    <row r="14" spans="3:10" x14ac:dyDescent="0.25">
      <c r="C14">
        <v>0</v>
      </c>
      <c r="D14">
        <v>0</v>
      </c>
      <c r="E14" s="12" t="s">
        <v>6</v>
      </c>
      <c r="F14" s="18" t="s">
        <v>6</v>
      </c>
    </row>
    <row r="15" spans="3:10" x14ac:dyDescent="0.25">
      <c r="C15">
        <v>6</v>
      </c>
      <c r="D15">
        <v>7</v>
      </c>
      <c r="E15" s="21">
        <f t="shared" si="0"/>
        <v>0.8571428571428571</v>
      </c>
      <c r="F15" s="16">
        <v>1</v>
      </c>
    </row>
    <row r="16" spans="3:10" x14ac:dyDescent="0.25">
      <c r="C16">
        <v>4</v>
      </c>
      <c r="D16">
        <v>6</v>
      </c>
      <c r="E16" s="21">
        <f t="shared" si="0"/>
        <v>0.66666666666666663</v>
      </c>
      <c r="F16" s="16">
        <v>1</v>
      </c>
    </row>
    <row r="17" spans="2:6" x14ac:dyDescent="0.25">
      <c r="C17">
        <v>5</v>
      </c>
      <c r="D17">
        <v>5</v>
      </c>
      <c r="E17" s="11">
        <f t="shared" si="0"/>
        <v>1</v>
      </c>
      <c r="F17" s="16">
        <v>1</v>
      </c>
    </row>
    <row r="18" spans="2:6" ht="15.75" thickBot="1" x14ac:dyDescent="0.3">
      <c r="C18">
        <v>0</v>
      </c>
      <c r="D18" s="6">
        <v>0</v>
      </c>
      <c r="E18" s="13" t="s">
        <v>6</v>
      </c>
      <c r="F18" s="19" t="s">
        <v>6</v>
      </c>
    </row>
    <row r="19" spans="2:6" ht="15.75" thickBot="1" x14ac:dyDescent="0.3">
      <c r="B19" s="3" t="s">
        <v>2</v>
      </c>
      <c r="C19" s="7">
        <f>SUM(C3:C18)</f>
        <v>54</v>
      </c>
      <c r="D19" s="8">
        <f>SUM(D3:D18)</f>
        <v>179</v>
      </c>
      <c r="E19" s="6"/>
    </row>
    <row r="20" spans="2:6" x14ac:dyDescent="0.25">
      <c r="D20" s="6"/>
    </row>
  </sheetData>
  <mergeCells count="1">
    <mergeCell ref="C1:F1"/>
  </mergeCells>
  <hyperlinks>
    <hyperlink ref="J2" r:id="rId1" display="https://www.cell.com/trends/genetics/fulltext/S0168-9525(12)00171-0?_returnURL=https%3A%2F%2Flinkinghub.elsevier.com%2Fretrieve%2Fpii%2FS0168952512001710%3Fshowall%3Dtrue" xr:uid="{3327F06F-7E1F-4B71-99C3-AD35A2CC2D46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Marshall, Hollie J. (Dr.)</dc:creator>
  <cp:lastModifiedBy>Marshall, Hollie J. (Dr.)</cp:lastModifiedBy>
  <dcterms:created xsi:type="dcterms:W3CDTF">2026-04-24T08:23:40Z</dcterms:created>
  <dcterms:modified xsi:type="dcterms:W3CDTF">2026-04-24T08:40:52Z</dcterms:modified>
</cp:coreProperties>
</file>